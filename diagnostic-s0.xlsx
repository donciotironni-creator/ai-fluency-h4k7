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 S0" sheetId="1" state="visible" r:id="rId1"/>
    <sheet name="Concluzi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sz val="11"/>
    </font>
    <font>
      <name val="Arial"/>
      <b val="1"/>
      <color rgb="005C6BC0"/>
      <sz val="10"/>
    </font>
    <font>
      <name val="Arial"/>
      <i val="1"/>
      <color rgb="00444444"/>
      <sz val="9"/>
    </font>
    <font>
      <name val="Arial"/>
      <b val="1"/>
      <color rgb="00FFFFFF"/>
      <sz val="13"/>
    </font>
    <font>
      <name val="Arial"/>
      <color rgb="00333333"/>
      <sz val="10"/>
    </font>
    <font>
      <name val="Arial"/>
      <b val="1"/>
      <color rgb="001A1A2E"/>
      <sz val="11"/>
    </font>
    <font>
      <name val="Arial"/>
      <color rgb="001A1A2E"/>
      <sz val="10"/>
    </font>
    <font>
      <name val="Arial"/>
      <b val="1"/>
      <color rgb="001A1A2E"/>
      <sz val="10"/>
    </font>
  </fonts>
  <fills count="1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5C6BC0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C5CAE9"/>
      </patternFill>
    </fill>
    <fill>
      <patternFill patternType="solid">
        <fgColor rgb="00E8EAF6"/>
      </patternFill>
    </fill>
    <fill>
      <patternFill patternType="solid">
        <fgColor rgb="0016213E"/>
      </patternFill>
    </fill>
    <fill>
      <patternFill patternType="solid">
        <fgColor rgb="00EEEEEE"/>
      </patternFill>
    </fill>
    <fill>
      <patternFill patternType="solid">
        <fgColor rgb="00EEF0FF"/>
      </patternFill>
    </fill>
    <fill>
      <patternFill patternType="solid">
        <fgColor rgb="003949AB"/>
      </patternFill>
    </fill>
    <fill>
      <patternFill patternType="solid">
        <fgColor rgb="00F0F0F0"/>
      </patternFill>
    </fill>
    <fill>
      <patternFill patternType="solid">
        <fgColor rgb="00EEF5FF"/>
      </patternFill>
    </fill>
    <fill>
      <patternFill patternType="solid">
        <fgColor rgb="0000695C"/>
      </patternFill>
    </fill>
    <fill>
      <patternFill patternType="solid">
        <fgColor rgb="00F1F8F6"/>
      </patternFill>
    </fill>
    <fill>
      <patternFill patternType="solid">
        <fgColor rgb="004A148C"/>
      </patternFill>
    </fill>
    <fill>
      <patternFill patternType="solid">
        <fgColor rgb="00EDE7F6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5C6BC0"/>
      </left>
      <right style="thin">
        <color rgb="005C6BC0"/>
      </right>
      <top style="thin">
        <color rgb="005C6BC0"/>
      </top>
      <bottom style="thin">
        <color rgb="005C6BC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164" fontId="10" fillId="11" borderId="1" applyAlignment="1" pivotButton="0" quotePrefix="0" xfId="0">
      <alignment horizontal="center" vertical="center"/>
    </xf>
    <xf numFmtId="0" fontId="3" fillId="12" borderId="6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top" wrapText="1"/>
    </xf>
    <xf numFmtId="0" fontId="3" fillId="15" borderId="6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left" vertical="top" wrapText="1"/>
    </xf>
    <xf numFmtId="0" fontId="3" fillId="17" borderId="6" applyAlignment="1" pivotButton="0" quotePrefix="0" xfId="0">
      <alignment horizontal="left" vertical="center" wrapText="1"/>
    </xf>
    <xf numFmtId="0" fontId="12" fillId="1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0" customWidth="1" min="9" max="9"/>
  </cols>
  <sheetData>
    <row r="1" ht="32" customHeight="1">
      <c r="A1" s="1" t="inlineStr">
        <is>
          <t>Diagnostic S0 - AI Fluency  |  Autoevaluare capabilitati Claude Code</t>
        </is>
      </c>
    </row>
    <row r="2" ht="22" customHeight="1">
      <c r="A2" s="2" t="inlineStr">
        <is>
          <t>Scala: 0 = n-am auzit / n-am folosit   |   1 = am folosit ocazional   |   2 = folosesc curent si constient</t>
        </is>
      </c>
    </row>
    <row r="3" ht="36" customHeight="1">
      <c r="A3" s="3" t="inlineStr">
        <is>
          <t>#</t>
        </is>
      </c>
      <c r="B3" s="3" t="inlineStr">
        <is>
          <t>Capabilitate</t>
        </is>
      </c>
      <c r="C3" s="3" t="inlineStr">
        <is>
          <t>Intrebare</t>
        </is>
      </c>
      <c r="D3" s="3" t="inlineStr">
        <is>
          <t>Irina Nedelcu</t>
        </is>
      </c>
      <c r="E3" s="3" t="inlineStr">
        <is>
          <t>Alex Ilie</t>
        </is>
      </c>
      <c r="F3" s="3" t="inlineStr">
        <is>
          <t>Adriana Munteanu</t>
        </is>
      </c>
      <c r="G3" s="3" t="inlineStr">
        <is>
          <t>Marieta Pirvu</t>
        </is>
      </c>
      <c r="H3" s="3" t="inlineStr">
        <is>
          <t>Jan Danila</t>
        </is>
      </c>
      <c r="I3" s="3" t="inlineStr">
        <is>
          <t>TOTAL</t>
        </is>
      </c>
    </row>
    <row r="4" ht="50" customHeight="1">
      <c r="A4" s="4" t="inlineStr">
        <is>
          <t>#1</t>
        </is>
      </c>
      <c r="B4" s="4" t="inlineStr">
        <is>
          <t>Plan mode</t>
        </is>
      </c>
      <c r="C4" s="5" t="inlineStr">
        <is>
          <t>Folosesti modul de planificare inainte de executie, sau mergi direct?</t>
        </is>
      </c>
      <c r="D4" s="6" t="n"/>
      <c r="E4" s="6" t="n"/>
      <c r="F4" s="6" t="n"/>
      <c r="G4" s="6" t="n"/>
      <c r="H4" s="6" t="n"/>
      <c r="I4" s="7">
        <f>SUM(D4:H4)</f>
        <v/>
      </c>
    </row>
    <row r="5" ht="50" customHeight="1">
      <c r="A5" s="8" t="inlineStr">
        <is>
          <t>#2</t>
        </is>
      </c>
      <c r="B5" s="8" t="inlineStr">
        <is>
          <t>Gestiunea contextului</t>
        </is>
      </c>
      <c r="C5" s="9" t="inlineStr">
        <is>
          <t>/clear, compaction, tii sesiunile curate constient?</t>
        </is>
      </c>
      <c r="D5" s="6" t="n"/>
      <c r="E5" s="6" t="n"/>
      <c r="F5" s="6" t="n"/>
      <c r="G5" s="6" t="n"/>
      <c r="H5" s="6" t="n"/>
      <c r="I5" s="7">
        <f>SUM(D5:H5)</f>
        <v/>
      </c>
    </row>
    <row r="6" ht="50" customHeight="1">
      <c r="A6" s="4" t="inlineStr">
        <is>
          <t>#3</t>
        </is>
      </c>
      <c r="B6" s="4" t="inlineStr">
        <is>
          <t>Alegerea model / effort</t>
        </is>
      </c>
      <c r="C6" s="5" t="inlineStr">
        <is>
          <t>Schimbi constient modelul sau nivelul de effort dupa tipul task-ului?</t>
        </is>
      </c>
      <c r="D6" s="6" t="n"/>
      <c r="E6" s="6" t="n"/>
      <c r="F6" s="6" t="n"/>
      <c r="G6" s="6" t="n"/>
      <c r="H6" s="6" t="n"/>
      <c r="I6" s="7">
        <f>SUM(D6:H6)</f>
        <v/>
      </c>
    </row>
    <row r="7" ht="50" customHeight="1">
      <c r="A7" s="8" t="inlineStr">
        <is>
          <t>#4</t>
        </is>
      </c>
      <c r="B7" s="8" t="inlineStr">
        <is>
          <t>CLAUDE.md</t>
        </is>
      </c>
      <c r="C7" s="9" t="inlineStr">
        <is>
          <t>Ai un fisier de "constitutie" in repo-urile tale?</t>
        </is>
      </c>
      <c r="D7" s="6" t="n"/>
      <c r="E7" s="6" t="n"/>
      <c r="F7" s="6" t="n"/>
      <c r="G7" s="6" t="n"/>
      <c r="H7" s="6" t="n"/>
      <c r="I7" s="7">
        <f>SUM(D7:H7)</f>
        <v/>
      </c>
    </row>
    <row r="8" ht="50" customHeight="1">
      <c r="A8" s="4" t="inlineStr">
        <is>
          <t>#5</t>
        </is>
      </c>
      <c r="B8" s="4" t="inlineStr">
        <is>
          <t>Slash commands / skills</t>
        </is>
      </c>
      <c r="C8" s="5" t="inlineStr">
        <is>
          <t>Ai comenzi custom proprii?</t>
        </is>
      </c>
      <c r="D8" s="6" t="n"/>
      <c r="E8" s="6" t="n"/>
      <c r="F8" s="6" t="n"/>
      <c r="G8" s="6" t="n"/>
      <c r="H8" s="6" t="n"/>
      <c r="I8" s="7">
        <f>SUM(D8:H8)</f>
        <v/>
      </c>
    </row>
    <row r="9" ht="50" customHeight="1">
      <c r="A9" s="8" t="inlineStr">
        <is>
          <t>#6</t>
        </is>
      </c>
      <c r="B9" s="8" t="inlineStr">
        <is>
          <t>Subagents</t>
        </is>
      </c>
      <c r="C9" s="9" t="inlineStr">
        <is>
          <t>Ai folosit sau definit vreun subagent?</t>
        </is>
      </c>
      <c r="D9" s="6" t="n"/>
      <c r="E9" s="6" t="n"/>
      <c r="F9" s="6" t="n"/>
      <c r="G9" s="6" t="n"/>
      <c r="H9" s="6" t="n"/>
      <c r="I9" s="7">
        <f>SUM(D9:H9)</f>
        <v/>
      </c>
    </row>
    <row r="10" ht="50" customHeight="1">
      <c r="A10" s="4" t="inlineStr">
        <is>
          <t>#7</t>
        </is>
      </c>
      <c r="B10" s="4" t="inlineStr">
        <is>
          <t>Hooks</t>
        </is>
      </c>
      <c r="C10" s="5" t="inlineStr">
        <is>
          <t>Ai configurat vreun hook determinist?</t>
        </is>
      </c>
      <c r="D10" s="6" t="n"/>
      <c r="E10" s="6" t="n"/>
      <c r="F10" s="6" t="n"/>
      <c r="G10" s="6" t="n"/>
      <c r="H10" s="6" t="n"/>
      <c r="I10" s="7">
        <f>SUM(D10:H10)</f>
        <v/>
      </c>
    </row>
    <row r="11" ht="50" customHeight="1">
      <c r="A11" s="8" t="inlineStr">
        <is>
          <t>#8</t>
        </is>
      </c>
      <c r="B11" s="8" t="inlineStr">
        <is>
          <t>MCP</t>
        </is>
      </c>
      <c r="C11" s="9" t="inlineStr">
        <is>
          <t>Ai conectat vreun server MCP (extern sau intern)?</t>
        </is>
      </c>
      <c r="D11" s="6" t="n"/>
      <c r="E11" s="6" t="n"/>
      <c r="F11" s="6" t="n"/>
      <c r="G11" s="6" t="n"/>
      <c r="H11" s="6" t="n"/>
      <c r="I11" s="7">
        <f>SUM(D11:H11)</f>
        <v/>
      </c>
    </row>
    <row r="12" ht="50" customHeight="1">
      <c r="A12" s="4" t="inlineStr">
        <is>
          <t>#9</t>
        </is>
      </c>
      <c r="B12" s="4" t="inlineStr">
        <is>
          <t>Permisiuni</t>
        </is>
      </c>
      <c r="C12" s="5" t="inlineStr">
        <is>
          <t>Stii diferenta allow/ask/deny si riscul lui --dangerously-skip-permissions?</t>
        </is>
      </c>
      <c r="D12" s="6" t="n"/>
      <c r="E12" s="6" t="n"/>
      <c r="F12" s="6" t="n"/>
      <c r="G12" s="6" t="n"/>
      <c r="H12" s="6" t="n"/>
      <c r="I12" s="7">
        <f>SUM(D12:H12)</f>
        <v/>
      </c>
    </row>
    <row r="13" ht="28" customHeight="1">
      <c r="A13" s="10" t="inlineStr">
        <is>
          <t>MEDIE PE COLEG</t>
        </is>
      </c>
      <c r="B13" s="14" t="n"/>
      <c r="C13" s="15" t="n"/>
      <c r="D13" s="11">
        <f>IFERROR(AVERAGE(D4:D12),"")</f>
        <v/>
      </c>
      <c r="E13" s="11">
        <f>IFERROR(AVERAGE(E4:E12),"")</f>
        <v/>
      </c>
      <c r="F13" s="11">
        <f>IFERROR(AVERAGE(F4:F12),"")</f>
        <v/>
      </c>
      <c r="G13" s="11">
        <f>IFERROR(AVERAGE(G4:G12),"")</f>
        <v/>
      </c>
      <c r="H13" s="11">
        <f>IFERROR(AVERAGE(H4:H12),"")</f>
        <v/>
      </c>
      <c r="I13" s="12">
        <f>SUM(I4:I12)</f>
        <v/>
      </c>
    </row>
    <row r="14" ht="36" customHeight="1">
      <c r="A14" s="13" t="inlineStr">
        <is>
          <t>Interpretare: Medie &gt;= 1,5 pe #1-#4 → comprima S1-S3 | Scoruri mari doar la cateva persoane → candidati prezentator rotativ | Mult 0 pe #5-#9 → pastreaza Faza 2-3 integral</t>
        </is>
      </c>
    </row>
  </sheetData>
  <mergeCells count="4">
    <mergeCell ref="A1:I1"/>
    <mergeCell ref="A14:I14"/>
    <mergeCell ref="A13:C1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62" customWidth="1" min="3" max="3"/>
    <col width="18" customWidth="1" min="4" max="4"/>
  </cols>
  <sheetData>
    <row r="1" ht="34" customHeight="1">
      <c r="A1" s="16" t="inlineStr">
        <is>
          <t>Concluzii diagnostice S0 — text generat automat din scoruri</t>
        </is>
      </c>
    </row>
    <row r="2" ht="22" customHeight="1">
      <c r="A2" s="17" t="inlineStr">
        <is>
          <t>Completati scorurile in sheet-ul "Diagnostic S0", apoi reveniti aici — textul se actualizeaza singur.</t>
        </is>
      </c>
    </row>
    <row r="4" ht="26" customHeight="1">
      <c r="A4" s="18" t="inlineStr">
        <is>
          <t>Indicatori cheie (se calculeaza automat)</t>
        </is>
      </c>
    </row>
    <row r="5" ht="24" customHeight="1">
      <c r="B5" s="19" t="inlineStr">
        <is>
          <t>Media echipei — Faza 1 (cap. #1-#4)</t>
        </is>
      </c>
      <c r="C5" s="20">
        <f>AVERAGE('Diagnostic S0'!D4:'Diagnostic S0'!H7)</f>
        <v/>
      </c>
      <c r="D5" s="15" t="n"/>
    </row>
    <row r="6" ht="24" customHeight="1">
      <c r="B6" s="19" t="inlineStr">
        <is>
          <t>Media echipei — Faza 2/3 (cap. #5-#9)</t>
        </is>
      </c>
      <c r="C6" s="20">
        <f>AVERAGE('Diagnostic S0'!D8:'Diagnostic S0'!H12)</f>
        <v/>
      </c>
      <c r="D6" s="15" t="n"/>
    </row>
    <row r="7" ht="8" customHeight="1"/>
    <row r="8" ht="26" customHeight="1">
      <c r="A8" s="21" t="inlineStr">
        <is>
          <t>Decizia de comprimare S1-S3</t>
        </is>
      </c>
    </row>
    <row r="9" ht="72" customHeight="1">
      <c r="B9" s="22" t="inlineStr">
        <is>
          <t>Text de citit echipei</t>
        </is>
      </c>
      <c r="C9" s="23">
        <f>IF(AVERAGE('Diagnostic S0'!D4:'Diagnostic S0'!H7)&gt;=1.5,"[VARIANTA A — COMPRIMARE] S1-S3 le comprimam, punem mai mult timp in Faza 2 si 3 unde e valoarea reala pentru echipa.","[VARIANTA B — INTEGRAL] Mergem integral pe Faza 1 — e exact ce trebuie.")</f>
        <v/>
      </c>
      <c r="D9" s="15" t="n"/>
    </row>
    <row r="10" ht="8" customHeight="1"/>
    <row r="11" ht="26" customHeight="1">
      <c r="A11" s="24" t="inlineStr">
        <is>
          <t>Candidati prezentatori rotativi (scoruri mari la #5-#9)</t>
        </is>
      </c>
    </row>
    <row r="12" ht="30" customHeight="1">
      <c r="B12" s="22" t="inlineStr">
        <is>
          <t>Irina Nedelcu</t>
        </is>
      </c>
      <c r="C12" s="25">
        <f>IF(MAX('Diagnostic S0'!D8:'Diagnostic S0'!D12)&gt;=2,"Irina Nedelcu — CANDIDAT (are 2 pe cel putin o capabilitate avansata)",IF(AVERAGE('Diagnostic S0'!D8:'Diagnostic S0'!D12)&gt;=1,"Irina Nedelcu — potential (medie avansata &gt;= 1)","Irina Nedelcu — nu inca"))</f>
        <v/>
      </c>
      <c r="D12" s="15" t="n"/>
    </row>
    <row r="13" ht="30" customHeight="1">
      <c r="B13" s="22" t="inlineStr">
        <is>
          <t>Alex Ilie</t>
        </is>
      </c>
      <c r="C13" s="25">
        <f>IF(MAX('Diagnostic S0'!E8:'Diagnostic S0'!E12)&gt;=2,"Alex Ilie — CANDIDAT (are 2 pe cel putin o capabilitate avansata)",IF(AVERAGE('Diagnostic S0'!E8:'Diagnostic S0'!E12)&gt;=1,"Alex Ilie — potential (medie avansata &gt;= 1)","Alex Ilie — nu inca"))</f>
        <v/>
      </c>
      <c r="D13" s="15" t="n"/>
    </row>
    <row r="14" ht="30" customHeight="1">
      <c r="B14" s="22" t="inlineStr">
        <is>
          <t>Adriana Munteanu</t>
        </is>
      </c>
      <c r="C14" s="25">
        <f>IF(MAX('Diagnostic S0'!F8:'Diagnostic S0'!F12)&gt;=2,"Adriana Munteanu — CANDIDAT (are 2 pe cel putin o capabilitate avansata)",IF(AVERAGE('Diagnostic S0'!F8:'Diagnostic S0'!F12)&gt;=1,"Adriana Munteanu — potential (medie avansata &gt;= 1)","Adriana Munteanu — nu inca"))</f>
        <v/>
      </c>
      <c r="D14" s="15" t="n"/>
    </row>
    <row r="15" ht="30" customHeight="1">
      <c r="B15" s="22" t="inlineStr">
        <is>
          <t>Marieta Pirvu</t>
        </is>
      </c>
      <c r="C15" s="25">
        <f>IF(MAX('Diagnostic S0'!G8:'Diagnostic S0'!G12)&gt;=2,"Marieta Pirvu — CANDIDAT (are 2 pe cel putin o capabilitate avansata)",IF(AVERAGE('Diagnostic S0'!G8:'Diagnostic S0'!G12)&gt;=1,"Marieta Pirvu — potential (medie avansata &gt;= 1)","Marieta Pirvu — nu inca"))</f>
        <v/>
      </c>
      <c r="D15" s="15" t="n"/>
    </row>
    <row r="16" ht="30" customHeight="1">
      <c r="B16" s="22" t="inlineStr">
        <is>
          <t>Jan Danila</t>
        </is>
      </c>
      <c r="C16" s="25">
        <f>IF(MAX('Diagnostic S0'!H8:'Diagnostic S0'!H12)&gt;=2,"Jan Danila — CANDIDAT (are 2 pe cel putin o capabilitate avansata)",IF(AVERAGE('Diagnostic S0'!H8:'Diagnostic S0'!H12)&gt;=1,"Jan Danila — potential (medie avansata &gt;= 1)","Jan Danila — nu inca"))</f>
        <v/>
      </c>
      <c r="D16" s="15" t="n"/>
    </row>
    <row r="17" ht="8" customHeight="1"/>
    <row r="18" ht="26" customHeight="1">
      <c r="A18" s="26" t="inlineStr">
        <is>
          <t>Textul COMPLET de citit in sesiune (copie direct)</t>
        </is>
      </c>
    </row>
    <row r="19" ht="130" customHeight="1">
      <c r="B19" s="27">
        <f>"Pe baza a ce vad, iata cum mergem: "&amp;CHAR(10)&amp;CHAR(10)&amp;IF(AVERAGE('Diagnostic S0'!D4:'Diagnostic S0'!H7)&gt;=1.5,"S1-S3 le comprimam, punem mai mult timp in Faza 2 si 3 unde e valoarea reala pentru echipa.","Mergem integral pe Faza 1 — e exact ce trebuie.")&amp;CHAR(10)&amp;CHAR(10)&amp;"Cei cu scoruri mari pe #5-#9 — voi intrati mai devreme ca prezentatori rotativi; aveti ceva de aratat celorlalti."&amp;CHAR(10)&amp;IF(MAX('Diagnostic S0'!D8:'Diagnostic S0'!H12)&gt;=2,"Candidati imediat: "&amp;IF(MAX('Diagnostic S0'!D8:'Diagnostic S0'!D12)&gt;=2,"Irina Nedelcu, ","")&amp;IF(MAX('Diagnostic S0'!E8:'Diagnostic S0'!E12)&gt;=2,"Alex Ilie, ","")&amp;IF(MAX('Diagnostic S0'!F8:'Diagnostic S0'!F12)&gt;=2,"Adriana Munteanu, ","")&amp;IF(MAX('Diagnostic S0'!G8:'Diagnostic S0'!G12)&gt;=2,"Marieta Pirvu, ","")&amp;IF(MAX('Diagnostic S0'!H8:'Diagnostic S0'!H12)&gt;=2,"Jan Danila",""),"(niciun candidat imediat — toti incep rotativul din S4 conform planului)")</f>
        <v/>
      </c>
      <c r="C19" s="14" t="n"/>
      <c r="D19" s="15" t="n"/>
    </row>
  </sheetData>
  <mergeCells count="15">
    <mergeCell ref="A1:D1"/>
    <mergeCell ref="C12:D12"/>
    <mergeCell ref="A18:D18"/>
    <mergeCell ref="B19:D19"/>
    <mergeCell ref="C6:D6"/>
    <mergeCell ref="A8:D8"/>
    <mergeCell ref="C16:D16"/>
    <mergeCell ref="A11:D11"/>
    <mergeCell ref="C15:D15"/>
    <mergeCell ref="A4:D4"/>
    <mergeCell ref="C5:D5"/>
    <mergeCell ref="C14:D14"/>
    <mergeCell ref="C13:D13"/>
    <mergeCell ref="A2:D2"/>
    <mergeCell ref="C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2026-07-02T09:13:02Z</dcterms:created>
  <dcterms:modified xsi:type="dcterms:W3CDTF">2026-07-02T09:14:15Z</dcterms:modified>
</cp:coreProperties>
</file>